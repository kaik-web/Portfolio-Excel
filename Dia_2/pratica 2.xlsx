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1009" documentId="11_92485C45C1F39E42E268565A893E8C18510380CC" xr6:coauthVersionLast="47" xr6:coauthVersionMax="47" xr10:uidLastSave="{97694695-2F80-4020-83E5-5F7235E6002C}"/>
  <bookViews>
    <workbookView xWindow="240" yWindow="105" windowWidth="14805" windowHeight="8010" firstSheet="1" xr2:uid="{00000000-000D-0000-FFFF-FFFF00000000}"/>
  </bookViews>
  <sheets>
    <sheet name="Relatório loja" sheetId="1" r:id="rId1"/>
    <sheet name="Buscar carg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 a="1"/>
  <c r="G23" i="1"/>
  <c r="C20" i="1"/>
  <c r="G15" i="1"/>
  <c r="G14" i="1"/>
  <c r="H4" i="1"/>
  <c r="H5" i="1"/>
  <c r="H6" i="1"/>
  <c r="H7" i="1"/>
  <c r="H8" i="1"/>
  <c r="H9" i="1"/>
  <c r="H10" i="1"/>
  <c r="H11" i="1"/>
  <c r="H3" i="1"/>
  <c r="B9" i="2"/>
  <c r="B11" i="2"/>
  <c r="F7" i="2"/>
  <c r="D25" i="1"/>
  <c r="G11" i="1"/>
  <c r="D15" i="1"/>
  <c r="G4" i="1"/>
  <c r="G5" i="1"/>
  <c r="G6" i="1"/>
  <c r="G7" i="1"/>
  <c r="G8" i="1"/>
  <c r="G9" i="1"/>
  <c r="G10" i="1"/>
  <c r="G3" i="1"/>
  <c r="D24" i="1" l="1"/>
  <c r="D16" i="1"/>
  <c r="D14" i="1"/>
  <c r="H24" i="1" l="1"/>
  <c r="H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tc={13E20EDD-9539-4ED7-B2D3-F9A309BB3BE9}</author>
    <author>tc={33B9E498-BB83-455B-8768-01838FD15E0B}</author>
    <author>tc={65D7EBB0-0B4F-42E5-A536-961D18869CEF}</author>
    <author>tc={011AB82D-33EB-4333-A52F-61629ADC1AFA}</author>
    <author>tc={CEB3023F-DE61-456F-9EBB-F1CA897A8B40}</author>
  </authors>
  <commentList>
    <comment ref="C12" authorId="0" shapeId="0" xr:uid="{13E20EDD-9539-4ED7-B2D3-F9A309BB3B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clique na linha abaixo e selecione o vendedor</t>
      </text>
    </comment>
    <comment ref="G12" authorId="1" shapeId="0" xr:uid="{33B9E498-BB83-455B-8768-01838FD15E0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clique na linha abaixo e selecione a categoria</t>
      </text>
    </comment>
    <comment ref="G14" authorId="2" shapeId="0" xr:uid="{65D7EBB0-0B4F-42E5-A536-961D18869CE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total de venda por categoria</t>
      </text>
    </comment>
    <comment ref="G15" authorId="3" shapeId="0" xr:uid="{011AB82D-33EB-4333-A52F-61629ADC1AFA}">
      <text>
        <t>[Threaded comment]
Your version of Excel allows you to read this threaded comment; however, any edits to it will get removed if the file is opened in a newer version of Excel. Learn more: https://go.microsoft.com/fwlink/?linkid=870924
Comment:
    quantidade de vendas</t>
      </text>
    </comment>
    <comment ref="C18" authorId="4" shapeId="0" xr:uid="{CEB3023F-DE61-456F-9EBB-F1CA897A8B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clique na linha abaixo para filtrar a loja desejada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<sst xmlns="http://schemas.openxmlformats.org/spreadsheetml/2006/main" count="70" uniqueCount="44">
  <si>
    <t>Sistema Loja geral</t>
  </si>
  <si>
    <t>ID_Venda</t>
  </si>
  <si>
    <t>Produto</t>
  </si>
  <si>
    <t>Loja</t>
  </si>
  <si>
    <t>Vendedor</t>
  </si>
  <si>
    <t>Quantidade</t>
  </si>
  <si>
    <t>Preço</t>
  </si>
  <si>
    <t>Faturamento</t>
  </si>
  <si>
    <t>Classificação</t>
  </si>
  <si>
    <t>Caneta</t>
  </si>
  <si>
    <t>Loja Sul</t>
  </si>
  <si>
    <t>João</t>
  </si>
  <si>
    <t>Caderno</t>
  </si>
  <si>
    <t>Loja Norte</t>
  </si>
  <si>
    <t>Maria</t>
  </si>
  <si>
    <t>Loja Centro</t>
  </si>
  <si>
    <t>Mochila</t>
  </si>
  <si>
    <t>Carlos</t>
  </si>
  <si>
    <t>Status vendedor</t>
  </si>
  <si>
    <t>Categoria da Venda</t>
  </si>
  <si>
    <t>venda estrategica</t>
  </si>
  <si>
    <t>Quantidade de vendas</t>
  </si>
  <si>
    <t>Ticket médio</t>
  </si>
  <si>
    <t>Vendas feitas em cada loja</t>
  </si>
  <si>
    <t>Regras:</t>
  </si>
  <si>
    <r>
      <rPr>
        <sz val="11"/>
        <color rgb="FF000000"/>
        <rFont val="Calibri"/>
        <scheme val="minor"/>
      </rPr>
      <t xml:space="preserve">Se o faturamento for </t>
    </r>
    <r>
      <rPr>
        <b/>
        <sz val="11"/>
        <color rgb="FF000000"/>
        <rFont val="Calibri"/>
        <scheme val="minor"/>
      </rPr>
      <t>&gt;= 500</t>
    </r>
    <r>
      <rPr>
        <sz val="11"/>
        <color rgb="FF000000"/>
        <rFont val="Calibri"/>
        <scheme val="minor"/>
      </rPr>
      <t xml:space="preserve"> </t>
    </r>
  </si>
  <si>
    <t>Venda Estratégica</t>
  </si>
  <si>
    <r>
      <rPr>
        <sz val="11"/>
        <color rgb="FF000000"/>
        <rFont val="Calibri"/>
        <scheme val="minor"/>
      </rPr>
      <t xml:space="preserve">Se for </t>
    </r>
    <r>
      <rPr>
        <b/>
        <sz val="11"/>
        <color rgb="FF000000"/>
        <rFont val="Calibri"/>
        <scheme val="minor"/>
      </rPr>
      <t>&lt; 500</t>
    </r>
    <r>
      <rPr>
        <sz val="11"/>
        <color rgb="FF000000"/>
        <rFont val="Calibri"/>
        <scheme val="minor"/>
      </rPr>
      <t xml:space="preserve"> </t>
    </r>
  </si>
  <si>
    <t>Venda Comum</t>
  </si>
  <si>
    <t>Resumo de cada produto</t>
  </si>
  <si>
    <t>Loja com maior Faturamento e Vendas</t>
  </si>
  <si>
    <t>Funcionarios</t>
  </si>
  <si>
    <t>ID</t>
  </si>
  <si>
    <t>Nome</t>
  </si>
  <si>
    <t>Cargo</t>
  </si>
  <si>
    <t>Paula</t>
  </si>
  <si>
    <t>Analista</t>
  </si>
  <si>
    <t>Marcos</t>
  </si>
  <si>
    <t>Supervisor</t>
  </si>
  <si>
    <t>Joana</t>
  </si>
  <si>
    <t>Estagiária</t>
  </si>
  <si>
    <t>Felipe</t>
  </si>
  <si>
    <t>Gerente</t>
  </si>
  <si>
    <t>Encontre o cargo pelo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</si>
</sst>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&quot;R$&quot;\ #,##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/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Border="1" applyAlignment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4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9525</xdr:rowOff>
    </xdr:from>
    <xdr:to>
      <xdr:col>7</xdr:col>
      <xdr:colOff>76200</xdr:colOff>
      <xdr:row>16</xdr:row>
      <xdr:rowOff>171450</xdr:rowOff>
    </xdr:to>
    <xdr:sp macro="" textlink="">
      <xdr:nvSpPr>
        <xdr:cNvPr id="6" name="Seta para Baixo 5">
          <a:extLst>
            <a:ext uri="{FF2B5EF4-FFF2-40B4-BE49-F238E27FC236}">
              <a16:creationId xmlns:a16="http://schemas.microsoft.com/office/drawing/2014/main" id="{A9EA65BD-12BA-B692-23D2-8A393D9D99BC}"/>
            </a:ext>
          </a:extLst>
        </xdr:cNvPr>
        <xdr:cNvSpPr/>
      </xdr:nvSpPr>
      <xdr:spPr>
        <a:xfrm>
          <a:off x="10744200" y="2962275"/>
          <a:ext cx="76200" cy="352425"/>
        </a:xfrm>
        <a:prstGeom prst="down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ik Lima" id="{551A2434-D1FA-4F03-81C8-D530403D112F}" userId="06d361206fcba35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6-02-06T00:07:53.77" personId="{551A2434-D1FA-4F03-81C8-D530403D112F}" id="{13E20EDD-9539-4ED7-B2D3-F9A309BB3BE9}">
    <text>clique na linha abaixo e selecione o vendedor</text>
  </threadedComment>
  <threadedComment ref="G12" dT="2026-02-06T00:07:23.61" personId="{551A2434-D1FA-4F03-81C8-D530403D112F}" id="{33B9E498-BB83-455B-8768-01838FD15E0B}">
    <text>clique na linha abaixo e selecione a categoria</text>
  </threadedComment>
  <threadedComment ref="G14" dT="2026-02-06T00:08:43.72" personId="{551A2434-D1FA-4F03-81C8-D530403D112F}" id="{65D7EBB0-0B4F-42E5-A536-961D18869CEF}">
    <text>valor total de venda por categoria</text>
  </threadedComment>
  <threadedComment ref="G15" dT="2026-02-06T00:09:05.08" personId="{551A2434-D1FA-4F03-81C8-D530403D112F}" id="{011AB82D-33EB-4333-A52F-61629ADC1AFA}">
    <text>quantidade de vendas</text>
  </threadedComment>
  <threadedComment ref="C18" dT="2026-02-06T00:09:40.50" personId="{551A2434-D1FA-4F03-81C8-D530403D112F}" id="{CEB3023F-DE61-456F-9EBB-F1CA897A8B40}">
    <text>clique na linha abaixo para filtrar a loja desejada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J18" sqref="J18"/>
    </sheetView>
  </sheetViews>
  <sheetFormatPr defaultRowHeight="15"/>
  <cols>
    <col min="1" max="1" width="13" style="1" customWidth="1"/>
    <col min="2" max="2" width="25.140625" style="1" customWidth="1"/>
    <col min="3" max="3" width="30.5703125" style="1" customWidth="1"/>
    <col min="4" max="4" width="30.42578125" style="1" customWidth="1"/>
    <col min="5" max="6" width="18.42578125" style="1" customWidth="1"/>
    <col min="7" max="7" width="25.140625" style="1" customWidth="1"/>
    <col min="8" max="8" width="26.42578125" style="1" customWidth="1"/>
    <col min="9" max="9" width="27.7109375" bestFit="1" customWidth="1"/>
  </cols>
  <sheetData>
    <row r="1" spans="1:8" ht="23.25">
      <c r="A1" s="21" t="s">
        <v>0</v>
      </c>
      <c r="B1" s="21"/>
      <c r="C1" s="21"/>
      <c r="D1" s="21"/>
      <c r="E1" s="21"/>
      <c r="F1" s="21"/>
      <c r="G1" s="21"/>
      <c r="H1" s="21"/>
    </row>
    <row r="2" spans="1:8" ht="18.75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</row>
    <row r="3" spans="1:8">
      <c r="A3" s="11">
        <v>1</v>
      </c>
      <c r="B3" s="11" t="s">
        <v>9</v>
      </c>
      <c r="C3" s="11" t="s">
        <v>10</v>
      </c>
      <c r="D3" s="11" t="s">
        <v>11</v>
      </c>
      <c r="E3" s="11">
        <v>10</v>
      </c>
      <c r="F3" s="2">
        <v>2.5</v>
      </c>
      <c r="G3" s="2">
        <f>E3*F3</f>
        <v>25</v>
      </c>
      <c r="H3" s="11" t="str">
        <f>IF(G3="","",IF(G3&gt;=100,"venda estrategica","Venda Comum"))</f>
        <v>Venda Comum</v>
      </c>
    </row>
    <row r="4" spans="1:8">
      <c r="A4" s="11">
        <v>2</v>
      </c>
      <c r="B4" s="11" t="s">
        <v>12</v>
      </c>
      <c r="C4" s="11" t="s">
        <v>13</v>
      </c>
      <c r="D4" s="11" t="s">
        <v>14</v>
      </c>
      <c r="E4" s="11">
        <v>5</v>
      </c>
      <c r="F4" s="2">
        <v>15</v>
      </c>
      <c r="G4" s="2">
        <f>E4*F4</f>
        <v>75</v>
      </c>
      <c r="H4" s="11" t="str">
        <f t="shared" ref="H4:H11" si="0">IF(G4="","",IF(G4&gt;=100,"venda estrategica","Venda Comum"))</f>
        <v>Venda Comum</v>
      </c>
    </row>
    <row r="5" spans="1:8">
      <c r="A5" s="11">
        <v>3</v>
      </c>
      <c r="B5" s="11" t="s">
        <v>9</v>
      </c>
      <c r="C5" s="11" t="s">
        <v>15</v>
      </c>
      <c r="D5" s="11" t="s">
        <v>11</v>
      </c>
      <c r="E5" s="11">
        <v>20</v>
      </c>
      <c r="F5" s="2">
        <v>2.5</v>
      </c>
      <c r="G5" s="2">
        <f>E5*F5</f>
        <v>50</v>
      </c>
      <c r="H5" s="11" t="str">
        <f t="shared" si="0"/>
        <v>Venda Comum</v>
      </c>
    </row>
    <row r="6" spans="1:8">
      <c r="A6" s="11">
        <v>4</v>
      </c>
      <c r="B6" s="11" t="s">
        <v>16</v>
      </c>
      <c r="C6" s="11" t="s">
        <v>10</v>
      </c>
      <c r="D6" s="11" t="s">
        <v>17</v>
      </c>
      <c r="E6" s="11">
        <v>2</v>
      </c>
      <c r="F6" s="2">
        <v>120</v>
      </c>
      <c r="G6" s="2">
        <f>E6*F6</f>
        <v>240</v>
      </c>
      <c r="H6" s="11" t="str">
        <f t="shared" si="0"/>
        <v>venda estrategica</v>
      </c>
    </row>
    <row r="7" spans="1:8">
      <c r="A7" s="11">
        <v>5</v>
      </c>
      <c r="B7" s="11" t="s">
        <v>12</v>
      </c>
      <c r="C7" s="11" t="s">
        <v>15</v>
      </c>
      <c r="D7" s="11" t="s">
        <v>14</v>
      </c>
      <c r="E7" s="11">
        <v>12</v>
      </c>
      <c r="F7" s="2">
        <v>15</v>
      </c>
      <c r="G7" s="2">
        <f>E7*F7</f>
        <v>180</v>
      </c>
      <c r="H7" s="11" t="str">
        <f t="shared" si="0"/>
        <v>venda estrategica</v>
      </c>
    </row>
    <row r="8" spans="1:8">
      <c r="A8" s="11">
        <v>6</v>
      </c>
      <c r="B8" s="11" t="s">
        <v>9</v>
      </c>
      <c r="C8" s="11" t="s">
        <v>13</v>
      </c>
      <c r="D8" s="11" t="s">
        <v>11</v>
      </c>
      <c r="E8" s="11">
        <v>30</v>
      </c>
      <c r="F8" s="2">
        <v>2.5</v>
      </c>
      <c r="G8" s="2">
        <f>E8*F8</f>
        <v>75</v>
      </c>
      <c r="H8" s="11" t="str">
        <f t="shared" si="0"/>
        <v>Venda Comum</v>
      </c>
    </row>
    <row r="9" spans="1:8">
      <c r="A9" s="11">
        <v>7</v>
      </c>
      <c r="B9" s="11" t="s">
        <v>16</v>
      </c>
      <c r="C9" s="11" t="s">
        <v>10</v>
      </c>
      <c r="D9" s="11" t="s">
        <v>14</v>
      </c>
      <c r="E9" s="11">
        <v>1</v>
      </c>
      <c r="F9" s="2">
        <v>250</v>
      </c>
      <c r="G9" s="2">
        <f>E9*F9</f>
        <v>250</v>
      </c>
      <c r="H9" s="11" t="str">
        <f t="shared" si="0"/>
        <v>venda estrategica</v>
      </c>
    </row>
    <row r="10" spans="1:8">
      <c r="A10" s="11">
        <v>8</v>
      </c>
      <c r="B10" s="11" t="s">
        <v>12</v>
      </c>
      <c r="C10" s="11" t="s">
        <v>10</v>
      </c>
      <c r="D10" s="11" t="s">
        <v>17</v>
      </c>
      <c r="E10" s="11">
        <v>8</v>
      </c>
      <c r="F10" s="2">
        <v>15</v>
      </c>
      <c r="G10" s="2">
        <f>E10*F10</f>
        <v>120</v>
      </c>
      <c r="H10" s="11" t="str">
        <f t="shared" si="0"/>
        <v>venda estrategica</v>
      </c>
    </row>
    <row r="11" spans="1:8">
      <c r="A11" s="11">
        <v>9</v>
      </c>
      <c r="B11" s="11" t="s">
        <v>9</v>
      </c>
      <c r="C11" s="11" t="s">
        <v>15</v>
      </c>
      <c r="D11" s="11" t="s">
        <v>14</v>
      </c>
      <c r="E11" s="11">
        <v>50</v>
      </c>
      <c r="F11" s="2">
        <v>2.5</v>
      </c>
      <c r="G11" s="2">
        <f>E11*F11</f>
        <v>125</v>
      </c>
      <c r="H11" s="11" t="str">
        <f t="shared" si="0"/>
        <v>venda estrategica</v>
      </c>
    </row>
    <row r="12" spans="1:8" ht="18.75">
      <c r="A12" s="7"/>
      <c r="B12" s="7"/>
      <c r="C12" s="12" t="s">
        <v>18</v>
      </c>
      <c r="D12" s="13"/>
      <c r="E12" s="7"/>
      <c r="G12" s="14" t="s">
        <v>19</v>
      </c>
      <c r="H12" s="14"/>
    </row>
    <row r="13" spans="1:8">
      <c r="A13" s="7"/>
      <c r="B13" s="7"/>
      <c r="C13" s="15" t="s">
        <v>11</v>
      </c>
      <c r="D13" s="16"/>
      <c r="E13" s="7"/>
      <c r="G13" s="17" t="s">
        <v>20</v>
      </c>
      <c r="H13" s="17"/>
    </row>
    <row r="14" spans="1:8">
      <c r="A14" s="7"/>
      <c r="C14" s="8" t="s">
        <v>7</v>
      </c>
      <c r="D14" s="2">
        <f>SUMIFS(G3:G11,D3:D11,C13)</f>
        <v>150</v>
      </c>
      <c r="E14" s="6"/>
      <c r="G14" s="18">
        <f>SUMIF(H3:H11,G13,G3:G11)</f>
        <v>915</v>
      </c>
      <c r="H14" s="18"/>
    </row>
    <row r="15" spans="1:8">
      <c r="A15" s="7"/>
      <c r="C15" s="5" t="s">
        <v>21</v>
      </c>
      <c r="D15" s="11">
        <f>COUNTIF(D3:D11,C13)</f>
        <v>3</v>
      </c>
      <c r="E15" s="9"/>
      <c r="G15" s="17">
        <f>COUNTIFS(H3:H11,G13)</f>
        <v>5</v>
      </c>
      <c r="H15" s="17"/>
    </row>
    <row r="16" spans="1:8">
      <c r="A16" s="7"/>
      <c r="C16" s="5" t="s">
        <v>22</v>
      </c>
      <c r="D16" s="2">
        <f>AVERAGEIF(D3:D11,C13,G3:G11)</f>
        <v>50</v>
      </c>
      <c r="E16" s="7"/>
      <c r="F16"/>
      <c r="G16"/>
      <c r="H16"/>
    </row>
    <row r="17" spans="1:8">
      <c r="A17" s="7"/>
      <c r="E17" s="7"/>
      <c r="F17"/>
      <c r="G17"/>
      <c r="H17"/>
    </row>
    <row r="18" spans="1:8" ht="18.75">
      <c r="A18" s="7"/>
      <c r="B18" s="7"/>
      <c r="C18" s="12" t="s">
        <v>23</v>
      </c>
      <c r="D18" s="13"/>
      <c r="E18" s="7"/>
      <c r="F18"/>
      <c r="G18" s="12" t="s">
        <v>24</v>
      </c>
      <c r="H18" s="13"/>
    </row>
    <row r="19" spans="1:8">
      <c r="A19" s="7"/>
      <c r="C19" s="15" t="s">
        <v>13</v>
      </c>
      <c r="D19" s="16"/>
      <c r="E19" s="7"/>
      <c r="F19"/>
      <c r="G19" s="3" t="s">
        <v>25</v>
      </c>
      <c r="H19" s="4" t="s">
        <v>26</v>
      </c>
    </row>
    <row r="20" spans="1:8">
      <c r="A20" s="7"/>
      <c r="C20" s="19">
        <f>COUNTIFS(C3:C11,C19)</f>
        <v>2</v>
      </c>
      <c r="D20" s="20"/>
      <c r="E20" s="7"/>
      <c r="F20"/>
      <c r="G20" s="3" t="s">
        <v>27</v>
      </c>
      <c r="H20" s="11" t="s">
        <v>28</v>
      </c>
    </row>
    <row r="21" spans="1:8">
      <c r="A21" s="7"/>
      <c r="D21" s="7"/>
      <c r="E21" s="7"/>
      <c r="F21"/>
      <c r="G21"/>
      <c r="H21"/>
    </row>
    <row r="22" spans="1:8" ht="18.75">
      <c r="A22" s="7"/>
      <c r="C22" s="12" t="s">
        <v>29</v>
      </c>
      <c r="D22" s="13"/>
      <c r="E22" s="7"/>
      <c r="F22"/>
      <c r="G22" s="14" t="s">
        <v>30</v>
      </c>
      <c r="H22" s="14"/>
    </row>
    <row r="23" spans="1:8">
      <c r="A23" s="7"/>
      <c r="B23" s="7"/>
      <c r="C23" s="15" t="s">
        <v>12</v>
      </c>
      <c r="D23" s="16"/>
      <c r="E23" s="7"/>
      <c r="F23"/>
      <c r="G23" s="15" t="str" cm="1">
        <f t="array" ref="G23">IFERROR((INDEX(C3:C11,
MATCH(
MAX(SUMIFS(G3:G11,C3:C11,C3:C11)),
SUMIFS(G3:G11,C3:C11,C3:C11),
0))),"Digite uma loja valida")</f>
        <v>Loja Sul</v>
      </c>
      <c r="H23" s="16"/>
    </row>
    <row r="24" spans="1:8">
      <c r="A24" s="7"/>
      <c r="B24" s="7"/>
      <c r="C24" s="5" t="s">
        <v>7</v>
      </c>
      <c r="D24" s="2">
        <f>IF(C23="","",(SUMIFS(G3:G11,B3:B11,C23)))</f>
        <v>375</v>
      </c>
      <c r="E24" s="7"/>
      <c r="F24" s="7"/>
      <c r="G24" s="5" t="s">
        <v>7</v>
      </c>
      <c r="H24" s="2">
        <f>IF(G23="","",(SUMIFS(G3:G11,C3:C11,"Loja Sul")))</f>
        <v>635</v>
      </c>
    </row>
    <row r="25" spans="1:8">
      <c r="C25" s="5" t="s">
        <v>21</v>
      </c>
      <c r="D25" s="11">
        <f>IF(C23="","",(COUNTIFS(B3:B11,C23)))</f>
        <v>3</v>
      </c>
      <c r="G25" s="5" t="s">
        <v>21</v>
      </c>
      <c r="H25" s="11">
        <f>IF(G23="","",(COUNTIFS(C3:C11,"Loja Sul")))</f>
        <v>4</v>
      </c>
    </row>
  </sheetData>
  <mergeCells count="15">
    <mergeCell ref="A1:H1"/>
    <mergeCell ref="C22:D22"/>
    <mergeCell ref="G22:H22"/>
    <mergeCell ref="G23:H23"/>
    <mergeCell ref="C23:D23"/>
    <mergeCell ref="G12:H12"/>
    <mergeCell ref="G13:H13"/>
    <mergeCell ref="G14:H14"/>
    <mergeCell ref="G15:H15"/>
    <mergeCell ref="G18:H18"/>
    <mergeCell ref="C19:D19"/>
    <mergeCell ref="C20:D20"/>
    <mergeCell ref="C12:D12"/>
    <mergeCell ref="C18:D18"/>
    <mergeCell ref="C13:D13"/>
  </mergeCells>
  <dataValidations count="4">
    <dataValidation type="list" allowBlank="1" showInputMessage="1" showErrorMessage="1" sqref="C19" xr:uid="{600A8925-D36C-4A42-B884-8C68E818BD20}">
      <formula1>"Loja Sul,Loja Norte,Loja Centro"</formula1>
    </dataValidation>
    <dataValidation type="list" allowBlank="1" showInputMessage="1" showErrorMessage="1" sqref="C13" xr:uid="{FD3304F4-35A9-440B-8B10-923F67F3236E}">
      <formula1>"João,Maria,Carlos"</formula1>
    </dataValidation>
    <dataValidation type="list" allowBlank="1" showInputMessage="1" showErrorMessage="1" sqref="G13" xr:uid="{B56270BE-75AE-4989-8A7C-C0F6B97CF607}">
      <formula1>"Venda Comum,venda estrategica"</formula1>
    </dataValidation>
    <dataValidation type="list" allowBlank="1" showInputMessage="1" showErrorMessage="1" sqref="C23" xr:uid="{305581A1-EEEE-472E-878E-740E3839637A}">
      <formula1>"Caneta,Caderno,Mochila"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7CBC-883B-4B64-A339-6FB51EF0A48E}">
  <dimension ref="A1:F11"/>
  <sheetViews>
    <sheetView workbookViewId="0">
      <selection activeCell="E14" sqref="E14"/>
    </sheetView>
  </sheetViews>
  <sheetFormatPr defaultRowHeight="15"/>
  <cols>
    <col min="1" max="1" width="12" bestFit="1" customWidth="1"/>
    <col min="10" max="10" width="11.7109375" customWidth="1"/>
    <col min="11" max="11" width="10.5703125" customWidth="1"/>
    <col min="12" max="12" width="9.5703125" customWidth="1"/>
    <col min="15" max="15" width="36.5703125" bestFit="1" customWidth="1"/>
  </cols>
  <sheetData>
    <row r="1" spans="1:6">
      <c r="A1" s="25" t="s">
        <v>31</v>
      </c>
      <c r="B1" s="25"/>
      <c r="C1" s="25"/>
    </row>
    <row r="2" spans="1:6">
      <c r="A2" s="11" t="s">
        <v>32</v>
      </c>
      <c r="B2" s="11" t="s">
        <v>33</v>
      </c>
      <c r="C2" s="11" t="s">
        <v>34</v>
      </c>
    </row>
    <row r="3" spans="1:6">
      <c r="A3" s="24">
        <v>10</v>
      </c>
      <c r="B3" s="11" t="s">
        <v>35</v>
      </c>
      <c r="C3" s="11" t="s">
        <v>36</v>
      </c>
      <c r="D3" s="1"/>
    </row>
    <row r="4" spans="1:6">
      <c r="A4" s="24">
        <v>11</v>
      </c>
      <c r="B4" s="11" t="s">
        <v>37</v>
      </c>
      <c r="C4" s="11" t="s">
        <v>38</v>
      </c>
      <c r="D4" s="1"/>
    </row>
    <row r="5" spans="1:6">
      <c r="A5" s="24">
        <v>12</v>
      </c>
      <c r="B5" s="11" t="s">
        <v>39</v>
      </c>
      <c r="C5" s="11" t="s">
        <v>40</v>
      </c>
      <c r="D5" s="1"/>
    </row>
    <row r="6" spans="1:6">
      <c r="A6" s="24">
        <v>13</v>
      </c>
      <c r="B6" s="11" t="s">
        <v>41</v>
      </c>
      <c r="C6" s="11" t="s">
        <v>42</v>
      </c>
      <c r="D6" s="1"/>
    </row>
    <row r="7" spans="1:6">
      <c r="D7" s="1"/>
      <c r="E7" s="1"/>
      <c r="F7" s="10" t="str">
        <f>IF(B10="","",IF(COUNTIF(A3:A6,B10)=0,"Digite um ID válido",""))</f>
        <v/>
      </c>
    </row>
    <row r="8" spans="1:6">
      <c r="A8" s="27"/>
      <c r="B8" s="27" t="s">
        <v>43</v>
      </c>
      <c r="C8" s="26"/>
    </row>
    <row r="9" spans="1:6">
      <c r="A9" s="11"/>
      <c r="B9" s="11" t="str">
        <f>_xlfn.XLOOKUP(B10,A3:A6,B3:B6)</f>
        <v>Joana</v>
      </c>
      <c r="C9" s="23"/>
    </row>
    <row r="10" spans="1:6">
      <c r="A10" s="11"/>
      <c r="B10" s="24">
        <v>12</v>
      </c>
      <c r="C10" s="23"/>
    </row>
    <row r="11" spans="1:6">
      <c r="A11" s="11"/>
      <c r="B11" s="11" t="str">
        <f>IFERROR(INDEX(C3:C6,MATCH(B10,A3:A6,0)),"")</f>
        <v>Estagiária</v>
      </c>
      <c r="C11" s="2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Kaik Lima</cp:lastModifiedBy>
  <cp:revision/>
  <dcterms:created xsi:type="dcterms:W3CDTF">2026-02-05T13:16:04Z</dcterms:created>
  <dcterms:modified xsi:type="dcterms:W3CDTF">2026-02-06T00:13:41Z</dcterms:modified>
  <cp:category/>
  <cp:contentStatus/>
</cp:coreProperties>
</file>