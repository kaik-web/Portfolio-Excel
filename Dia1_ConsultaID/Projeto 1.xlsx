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53" documentId="11_92485C45C1F39E42E268565A893E8C18510380CC" xr6:coauthVersionLast="47" xr6:coauthVersionMax="47" xr10:uidLastSave="{30A96479-17C0-48BF-AB9A-3DA255431E12}"/>
  <bookViews>
    <workbookView xWindow="240" yWindow="105" windowWidth="14805" windowHeight="8010" xr2:uid="{00000000-000D-0000-FFFF-FFFF00000000}"/>
  </bookViews>
  <sheets>
    <sheet name="Controle de vendas" sheetId="1" r:id="rId1"/>
    <sheet name="Tabela de produ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D17" i="1"/>
  <c r="H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3" i="1" a="1"/>
  <c r="D3" i="1"/>
  <c r="E3" i="1" s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4" i="1" a="1"/>
  <c r="C4" i="1"/>
  <c r="C3" i="1" a="1"/>
  <c r="C3" i="1"/>
  <c r="E12" i="1" l="1"/>
  <c r="F12" i="1"/>
  <c r="E11" i="1"/>
  <c r="F11" i="1"/>
  <c r="E10" i="1"/>
  <c r="F10" i="1"/>
  <c r="E9" i="1"/>
  <c r="F9" i="1"/>
  <c r="E8" i="1"/>
  <c r="F8" i="1"/>
  <c r="E7" i="1"/>
  <c r="F7" i="1"/>
  <c r="E6" i="1"/>
  <c r="F6" i="1"/>
  <c r="E5" i="1"/>
  <c r="F5" i="1"/>
  <c r="E4" i="1"/>
  <c r="F4" i="1"/>
  <c r="F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<sst xmlns="http://schemas.openxmlformats.org/spreadsheetml/2006/main" count="27" uniqueCount="26">
  <si>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Vendas</t>
  </si>
  <si>
    <t>Produto_ID</t>
  </si>
  <si>
    <t>Quantidade</t>
  </si>
  <si>
    <t>Nome</t>
  </si>
  <si>
    <t>Preço</t>
  </si>
  <si>
    <t>Classificação</t>
  </si>
  <si>
    <t>Faturamento</t>
  </si>
  <si>
    <t>Faturamento total</t>
  </si>
  <si>
    <t>Quantidade vendida</t>
  </si>
  <si>
    <t>Tipos de Classificação por Preço</t>
  </si>
  <si>
    <t>Meta de faturamento</t>
  </si>
  <si>
    <t>Premium: &gt;=</t>
  </si>
  <si>
    <t>Comum: &lt;</t>
  </si>
  <si>
    <t>Produtos</t>
  </si>
  <si>
    <t>ID</t>
  </si>
  <si>
    <t>Produto</t>
  </si>
  <si>
    <t>Caneta</t>
  </si>
  <si>
    <t>Caderno</t>
  </si>
  <si>
    <t>Mochila</t>
  </si>
  <si>
    <t>Estojo</t>
  </si>
  <si>
    <t>Livro</t>
  </si>
  <si>
    <t>Caneta Luxo</t>
  </si>
  <si>
    <t>Agenda</t>
  </si>
  <si>
    <t>Lápis</t>
  </si>
  <si>
    <t>Caderno Premium</t>
  </si>
  <si>
    <t>Mochila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</si>
</sst>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4" fillId="4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Border="1"/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G11" sqref="G11"/>
    </sheetView>
  </sheetViews>
  <sheetFormatPr defaultRowHeight="15"/>
  <cols>
    <col min="1" max="1" width="36.5703125" bestFit="1" customWidth="1"/>
    <col min="2" max="2" width="11.140625" bestFit="1" customWidth="1"/>
    <col min="3" max="3" width="19.5703125" customWidth="1"/>
    <col min="4" max="4" width="28.28515625" customWidth="1"/>
    <col min="5" max="5" width="19.7109375" bestFit="1" customWidth="1"/>
    <col min="6" max="6" width="20.42578125" bestFit="1" customWidth="1"/>
    <col min="7" max="7" width="35.7109375" customWidth="1"/>
    <col min="8" max="8" width="36.5703125" bestFit="1" customWidth="1"/>
    <col min="9" max="9" width="19.28515625" bestFit="1" customWidth="1"/>
  </cols>
  <sheetData>
    <row r="1" spans="1:8" ht="18.75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</row>
    <row r="3" spans="1:8">
      <c r="A3" s="13">
        <v>101</v>
      </c>
      <c r="B3" s="9">
        <v>3</v>
      </c>
      <c r="C3" s="9" t="str" cm="1">
        <f t="array" ref="C3">IF(A3="","",_xlfn.XLOOKUP(A3,'Tabela de produtos'!A3:$A$12,'Tabela de produtos'!B3:$B$12,"Produto não encontrado"))</f>
        <v>Caneta</v>
      </c>
      <c r="D3" s="8" cm="1">
        <f t="array" ref="D3">IF(A3="","",_xlfn.XLOOKUP(A3,'Tabela de produtos'!A3:$A$12,'Tabela de produtos'!C3:$C$12,""))</f>
        <v>2.5</v>
      </c>
      <c r="E3" s="9" t="str">
        <f>IF(A3="","",IF(D3="","ID não encontrado",IF(D3&gt;=$B$16,"Produto Premium","Produto Comum")))</f>
        <v>Produto Comum</v>
      </c>
      <c r="F3" s="8">
        <f>IF(OR(A3="",B3="",D3=""),"",B3*D3)</f>
        <v>7.5</v>
      </c>
      <c r="G3" s="8">
        <f>SUM(F3:F12)</f>
        <v>1335</v>
      </c>
      <c r="H3" s="9">
        <f>IF(B3="","invalido, tente novamente",SUM(B3:B12))</f>
        <v>27</v>
      </c>
    </row>
    <row r="4" spans="1:8">
      <c r="A4" s="13">
        <v>102</v>
      </c>
      <c r="B4" s="9">
        <v>2</v>
      </c>
      <c r="C4" s="9" t="str" cm="1">
        <f t="array" ref="C4">IF(A4="","",_xlfn.XLOOKUP(A4,'Tabela de produtos'!A4:$A$12,'Tabela de produtos'!B4:$B$12,"Produto não encontrado"))</f>
        <v>Caderno</v>
      </c>
      <c r="D4" s="8" cm="1">
        <f t="array" ref="D4">IF(A4="","",_xlfn.XLOOKUP(A4,'Tabela de produtos'!A4:$A$12,'Tabela de produtos'!C4:$C$12,""))</f>
        <v>18</v>
      </c>
      <c r="E4" s="9" t="str">
        <f>IF(A4="","",IF(D4="","ID não encontrado",IF(D4&gt;=$B$16,"Produto Premium","Produto Comum")))</f>
        <v>Produto Comum</v>
      </c>
      <c r="F4" s="8">
        <f t="shared" ref="F4:F12" si="0">IF(OR(A4="",B4="",D4=""),"",B4*D4)</f>
        <v>36</v>
      </c>
      <c r="G4" s="14"/>
      <c r="H4" s="14"/>
    </row>
    <row r="5" spans="1:8">
      <c r="A5" s="13">
        <v>103</v>
      </c>
      <c r="B5" s="9">
        <v>1</v>
      </c>
      <c r="C5" s="9" t="str" cm="1">
        <f t="array" ref="C5">IF(A5="","",_xlfn.XLOOKUP(A5,'Tabela de produtos'!A5:$A$12,'Tabela de produtos'!B5:$B$12,"Produto não encontrado"))</f>
        <v>Mochila</v>
      </c>
      <c r="D5" s="8" cm="1">
        <f t="array" ref="D5">IF(A5="","",_xlfn.XLOOKUP(A5,'Tabela de produtos'!A5:$A$12,'Tabela de produtos'!C5:$C$12,""))</f>
        <v>120</v>
      </c>
      <c r="E5" s="9" t="str">
        <f>IF(A5="","",IF(D5="","ID não encontrado",IF(D5&gt;=$B$16,"Produto Premium","Produto Comum")))</f>
        <v>Produto Premium</v>
      </c>
      <c r="F5" s="8">
        <f t="shared" si="0"/>
        <v>120</v>
      </c>
      <c r="G5" s="14"/>
      <c r="H5" s="14"/>
    </row>
    <row r="6" spans="1:8">
      <c r="A6" s="13">
        <v>104</v>
      </c>
      <c r="B6" s="9">
        <v>5</v>
      </c>
      <c r="C6" s="9" t="str" cm="1">
        <f t="array" ref="C6">IF(A6="","",_xlfn.XLOOKUP(A6,'Tabela de produtos'!A6:$A$12,'Tabela de produtos'!B6:$B$12,"Produto não encontrado"))</f>
        <v>Estojo</v>
      </c>
      <c r="D6" s="8" cm="1">
        <f t="array" ref="D6">IF(A6="","",_xlfn.XLOOKUP(A6,'Tabela de produtos'!A6:$A$12,'Tabela de produtos'!C6:$C$12,""))</f>
        <v>9</v>
      </c>
      <c r="E6" s="9" t="str">
        <f>IF(A6="","",IF(D6="","ID não encontrado",IF(D6&gt;=$B$16,"Produto Premium","Produto Comum")))</f>
        <v>Produto Comum</v>
      </c>
      <c r="F6" s="8">
        <f t="shared" si="0"/>
        <v>45</v>
      </c>
      <c r="G6" s="14"/>
      <c r="H6" s="14"/>
    </row>
    <row r="7" spans="1:8">
      <c r="A7" s="13">
        <v>105</v>
      </c>
      <c r="B7" s="9">
        <v>4</v>
      </c>
      <c r="C7" s="9" t="str" cm="1">
        <f t="array" ref="C7">IF(A7="","",_xlfn.XLOOKUP(A7,'Tabela de produtos'!A7:$A$12,'Tabela de produtos'!B7:$B$12,"Produto não encontrado"))</f>
        <v>Livro</v>
      </c>
      <c r="D7" s="8" cm="1">
        <f t="array" ref="D7">IF(A7="","",_xlfn.XLOOKUP(A7,'Tabela de produtos'!A7:$A$12,'Tabela de produtos'!C7:$C$12,""))</f>
        <v>95</v>
      </c>
      <c r="E7" s="9" t="str">
        <f>IF(A7="","",IF(D7="","ID não encontrado",IF(D7&gt;=$B$16,"Produto Premium","Produto Comum")))</f>
        <v>Produto Premium</v>
      </c>
      <c r="F7" s="8">
        <f t="shared" si="0"/>
        <v>380</v>
      </c>
      <c r="G7" s="14"/>
      <c r="H7" s="14"/>
    </row>
    <row r="8" spans="1:8">
      <c r="A8" s="13">
        <v>106</v>
      </c>
      <c r="B8" s="9">
        <v>2</v>
      </c>
      <c r="C8" s="9" t="str" cm="1">
        <f t="array" ref="C8">IF(A8="","",_xlfn.XLOOKUP(A8,'Tabela de produtos'!A8:$A$12,'Tabela de produtos'!B8:$B$12,"Produto não encontrado"))</f>
        <v>Caneta Luxo</v>
      </c>
      <c r="D8" s="8" cm="1">
        <f t="array" ref="D8">IF(A8="","",_xlfn.XLOOKUP(A8,'Tabela de produtos'!A8:$A$12,'Tabela de produtos'!C8:$C$12,""))</f>
        <v>5</v>
      </c>
      <c r="E8" s="9" t="str">
        <f>IF(A8="","",IF(D8="","ID não encontrado",IF(D8&gt;=$B$16,"Produto Premium","Produto Comum")))</f>
        <v>Produto Comum</v>
      </c>
      <c r="F8" s="8">
        <f t="shared" si="0"/>
        <v>10</v>
      </c>
      <c r="G8" s="14"/>
      <c r="H8" s="14"/>
    </row>
    <row r="9" spans="1:8">
      <c r="A9" s="13">
        <v>107</v>
      </c>
      <c r="B9" s="9">
        <v>3</v>
      </c>
      <c r="C9" s="9" t="str" cm="1">
        <f t="array" ref="C9">IF(A9="","",_xlfn.XLOOKUP(A9,'Tabela de produtos'!A9:$A$12,'Tabela de produtos'!B9:$B$12,"Produto não encontrado"))</f>
        <v>Agenda</v>
      </c>
      <c r="D9" s="8" cm="1">
        <f t="array" ref="D9">IF(A9="","",_xlfn.XLOOKUP(A9,'Tabela de produtos'!A9:$A$12,'Tabela de produtos'!C9:$C$12,""))</f>
        <v>25</v>
      </c>
      <c r="E9" s="9" t="str">
        <f>IF(A9="","",IF(D9="","ID não encontrado",IF(D9&gt;=$B$16,"Produto Premium","Produto Comum")))</f>
        <v>Produto Comum</v>
      </c>
      <c r="F9" s="8">
        <f t="shared" si="0"/>
        <v>75</v>
      </c>
      <c r="G9" s="14"/>
      <c r="H9" s="14"/>
    </row>
    <row r="10" spans="1:8">
      <c r="A10" s="13">
        <v>108</v>
      </c>
      <c r="B10" s="9">
        <v>1</v>
      </c>
      <c r="C10" s="9" t="str" cm="1">
        <f t="array" ref="C10">IF(A10="","",_xlfn.XLOOKUP(A10,'Tabela de produtos'!A10:$A$12,'Tabela de produtos'!B10:$B$12,"Produto não encontrado"))</f>
        <v>Lápis</v>
      </c>
      <c r="D10" s="8" cm="1">
        <f t="array" ref="D10">IF(A10="","",_xlfn.XLOOKUP(A10,'Tabela de produtos'!A10:$A$12,'Tabela de produtos'!C10:$C$12,""))</f>
        <v>1.5</v>
      </c>
      <c r="E10" s="9" t="str">
        <f>IF(A10="","",IF(D10="","ID não encontrado",IF(D10&gt;=$B$16,"Produto Premium","Produto Comum")))</f>
        <v>Produto Comum</v>
      </c>
      <c r="F10" s="8">
        <f t="shared" si="0"/>
        <v>1.5</v>
      </c>
      <c r="G10" s="14"/>
      <c r="H10" s="14"/>
    </row>
    <row r="11" spans="1:8">
      <c r="A11" s="13">
        <v>109</v>
      </c>
      <c r="B11" s="9">
        <v>2</v>
      </c>
      <c r="C11" s="9" t="str" cm="1">
        <f t="array" ref="C11">IF(A11="","",_xlfn.XLOOKUP(A11,'Tabela de produtos'!A11:$A$12,'Tabela de produtos'!B11:$B$12,"Produto não encontrado"))</f>
        <v>Caderno Premium</v>
      </c>
      <c r="D11" s="8" cm="1">
        <f t="array" ref="D11">IF(A11="","",_xlfn.XLOOKUP(A11,'Tabela de produtos'!A11:$A$12,'Tabela de produtos'!C11:$C$12,""))</f>
        <v>30</v>
      </c>
      <c r="E11" s="9" t="str">
        <f>IF(A11="","",IF(D11="","ID não encontrado",IF(D11&gt;=$B$16,"Produto Premium","Produto Comum")))</f>
        <v>Produto Comum</v>
      </c>
      <c r="F11" s="8">
        <f t="shared" si="0"/>
        <v>60</v>
      </c>
      <c r="G11" s="14"/>
      <c r="H11" s="14"/>
    </row>
    <row r="12" spans="1:8">
      <c r="A12" s="13">
        <v>110</v>
      </c>
      <c r="B12" s="9">
        <v>4</v>
      </c>
      <c r="C12" s="9" t="str" cm="1">
        <f t="array" ref="C12">IF(A12="","",_xlfn.XLOOKUP(A12,'Tabela de produtos'!A12:$A$12,'Tabela de produtos'!B12:$B$12,"Produto não encontrado"))</f>
        <v>Mochila Escolar</v>
      </c>
      <c r="D12" s="8" cm="1">
        <f t="array" ref="D12">IF(A12="","",_xlfn.XLOOKUP(A12,'Tabela de produtos'!A12:$A$12,'Tabela de produtos'!C12:$C$12,""))</f>
        <v>150</v>
      </c>
      <c r="E12" s="9" t="str">
        <f>IF(A12="","",IF(D12="","ID não encontrado",IF(D12&gt;=$B$16,"Produto Premium","Produto Comum")))</f>
        <v>Produto Premium</v>
      </c>
      <c r="F12" s="8">
        <f t="shared" si="0"/>
        <v>600</v>
      </c>
      <c r="G12" s="14"/>
      <c r="H12" s="14"/>
    </row>
    <row r="15" spans="1:8" ht="15.75">
      <c r="A15" s="7" t="s">
        <v>9</v>
      </c>
      <c r="B15" s="7"/>
      <c r="D15" s="15" t="s">
        <v>10</v>
      </c>
    </row>
    <row r="16" spans="1:8">
      <c r="A16" s="5" t="s">
        <v>11</v>
      </c>
      <c r="B16" s="6">
        <v>45</v>
      </c>
      <c r="D16" s="8">
        <v>3400</v>
      </c>
    </row>
    <row r="17" spans="1:5">
      <c r="A17" s="5" t="s">
        <v>12</v>
      </c>
      <c r="B17" s="6">
        <v>45</v>
      </c>
      <c r="D17" s="9" t="str">
        <f>IF(G3="","",IF(G3&gt;=D16,"Resultado de meta satisfatorio","Meta não atingida"))</f>
        <v>Meta não atingida</v>
      </c>
    </row>
    <row r="18" spans="1:5">
      <c r="E18" s="1"/>
    </row>
  </sheetData>
  <mergeCells count="2">
    <mergeCell ref="A1:H1"/>
    <mergeCell ref="A15:B15"/>
  </mergeCells>
  <conditionalFormatting sqref="D17">
    <cfRule type="containsText" dxfId="1" priority="2" operator="containsText" text="Meta não atingida">
      <formula>NOT(ISERROR(SEARCH("Meta não atingida",D17)))</formula>
    </cfRule>
  </conditionalFormatting>
  <conditionalFormatting sqref="D17">
    <cfRule type="containsText" dxfId="0" priority="1" operator="containsText" text="Resultado de meta satisfatorio">
      <formula>NOT(ISERROR(SEARCH("Resultado de meta satisfatorio",D17)))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43B8-D37C-4293-B33D-80D141C124E0}">
  <dimension ref="A1:C12"/>
  <sheetViews>
    <sheetView workbookViewId="0">
      <selection activeCell="H10" sqref="H10"/>
    </sheetView>
  </sheetViews>
  <sheetFormatPr defaultRowHeight="15"/>
  <cols>
    <col min="1" max="1" width="27.140625" customWidth="1"/>
    <col min="2" max="2" width="16.7109375" bestFit="1" customWidth="1"/>
    <col min="3" max="3" width="10.5703125" bestFit="1" customWidth="1"/>
  </cols>
  <sheetData>
    <row r="1" spans="1:3" ht="23.25">
      <c r="A1" s="2" t="s">
        <v>13</v>
      </c>
      <c r="B1" s="2"/>
      <c r="C1" s="2"/>
    </row>
    <row r="2" spans="1:3">
      <c r="A2" s="3" t="s">
        <v>14</v>
      </c>
      <c r="B2" s="3" t="s">
        <v>15</v>
      </c>
      <c r="C2" s="3" t="s">
        <v>4</v>
      </c>
    </row>
    <row r="3" spans="1:3">
      <c r="A3" s="1">
        <v>101</v>
      </c>
      <c r="B3" s="1" t="s">
        <v>16</v>
      </c>
      <c r="C3" s="4">
        <v>2.5</v>
      </c>
    </row>
    <row r="4" spans="1:3">
      <c r="A4" s="1">
        <v>102</v>
      </c>
      <c r="B4" s="1" t="s">
        <v>17</v>
      </c>
      <c r="C4" s="4">
        <v>18</v>
      </c>
    </row>
    <row r="5" spans="1:3">
      <c r="A5" s="1">
        <v>103</v>
      </c>
      <c r="B5" s="1" t="s">
        <v>18</v>
      </c>
      <c r="C5" s="4">
        <v>120</v>
      </c>
    </row>
    <row r="6" spans="1:3">
      <c r="A6" s="1">
        <v>104</v>
      </c>
      <c r="B6" s="1" t="s">
        <v>19</v>
      </c>
      <c r="C6" s="4">
        <v>9</v>
      </c>
    </row>
    <row r="7" spans="1:3">
      <c r="A7" s="1">
        <v>105</v>
      </c>
      <c r="B7" s="1" t="s">
        <v>20</v>
      </c>
      <c r="C7" s="4">
        <v>95</v>
      </c>
    </row>
    <row r="8" spans="1:3">
      <c r="A8" s="1">
        <v>106</v>
      </c>
      <c r="B8" s="1" t="s">
        <v>21</v>
      </c>
      <c r="C8" s="4">
        <v>5</v>
      </c>
    </row>
    <row r="9" spans="1:3">
      <c r="A9" s="1">
        <v>107</v>
      </c>
      <c r="B9" s="1" t="s">
        <v>22</v>
      </c>
      <c r="C9" s="4">
        <v>25</v>
      </c>
    </row>
    <row r="10" spans="1:3">
      <c r="A10" s="1">
        <v>108</v>
      </c>
      <c r="B10" s="1" t="s">
        <v>23</v>
      </c>
      <c r="C10" s="4">
        <v>1.5</v>
      </c>
    </row>
    <row r="11" spans="1:3">
      <c r="A11" s="1">
        <v>109</v>
      </c>
      <c r="B11" s="1" t="s">
        <v>24</v>
      </c>
      <c r="C11" s="4">
        <v>30</v>
      </c>
    </row>
    <row r="12" spans="1:3">
      <c r="A12" s="1">
        <v>110</v>
      </c>
      <c r="B12" s="1" t="s">
        <v>25</v>
      </c>
      <c r="C12" s="4">
        <v>150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Kaik Lima</cp:lastModifiedBy>
  <cp:revision/>
  <dcterms:created xsi:type="dcterms:W3CDTF">2026-02-04T22:14:40Z</dcterms:created>
  <dcterms:modified xsi:type="dcterms:W3CDTF">2026-02-05T00:04:37Z</dcterms:modified>
  <cp:category/>
  <cp:contentStatus/>
</cp:coreProperties>
</file>